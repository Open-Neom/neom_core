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y Area" sheetId="3" state="visible" r:id="rId3"/>
    <sheet xmlns:r="http://schemas.openxmlformats.org/officeDocument/2006/relationships" name="Defects Log" sheetId="4" state="visible" r:id="rId4"/>
    <sheet xmlns:r="http://schemas.openxmlformats.org/officeDocument/2006/relationships" name="Release Gates" sheetId="5" state="visible" r:id="rId5"/>
  </sheets>
  <definedNames>
    <definedName name="_xlnm._FilterDatabase" localSheetId="1" hidden="1">'Test Cases'!$A$1:$O$7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E75B6"/>
      <sz val="16"/>
    </font>
    <font>
      <name val="Arial"/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5B6"/>
      <sz val="14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B7C9D3"/>
      </left>
      <right style="thin">
        <color rgb="00B7C9D3"/>
      </right>
      <top style="thin">
        <color rgb="00B7C9D3"/>
      </top>
      <bottom style="thin">
        <color rgb="00B7C9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D5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neom_core — Regression Testing Checklist</t>
        </is>
      </c>
    </row>
    <row r="2">
      <c r="A2" s="2" t="inlineStr">
        <is>
          <t>Módulo:</t>
        </is>
      </c>
      <c r="B2" s="3" t="inlineStr">
        <is>
          <t>neom_core</t>
        </is>
      </c>
    </row>
    <row r="3">
      <c r="A3" s="2" t="inlineStr">
        <is>
          <t>Categoría:</t>
        </is>
      </c>
      <c r="B3" s="3" t="inlineStr">
        <is>
          <t>main</t>
        </is>
      </c>
    </row>
    <row r="4">
      <c r="A4" s="2" t="inlineStr">
        <is>
          <t>Descripción:</t>
        </is>
      </c>
      <c r="B4" s="3" t="inlineStr">
        <is>
          <t>Core compartido: domain models, enums (SubscriptionLevel), repositorios Firestore base, utils.</t>
        </is>
      </c>
    </row>
    <row r="5">
      <c r="A5" s="2" t="inlineStr">
        <is>
          <t>Versión:</t>
        </is>
      </c>
      <c r="B5" s="3" t="inlineStr">
        <is>
          <t>1.0.0</t>
        </is>
      </c>
    </row>
    <row r="6">
      <c r="A6" s="2" t="inlineStr">
        <is>
          <t>Tester(s):</t>
        </is>
      </c>
      <c r="B6" s="3" t="inlineStr"/>
    </row>
    <row r="7">
      <c r="A7" s="2" t="inlineStr">
        <is>
          <t>Fecha inicio:</t>
        </is>
      </c>
      <c r="B7" s="3" t="inlineStr"/>
    </row>
    <row r="8">
      <c r="A8" s="2" t="inlineStr">
        <is>
          <t>Fecha fin:</t>
        </is>
      </c>
      <c r="B8" s="3" t="inlineStr"/>
    </row>
    <row r="10">
      <c r="A10" s="4" t="inlineStr">
        <is>
          <t>KPI</t>
        </is>
      </c>
      <c r="B10" s="4" t="inlineStr">
        <is>
          <t>Valor</t>
        </is>
      </c>
    </row>
    <row r="11">
      <c r="A11" s="5" t="inlineStr">
        <is>
          <t>Total de casos</t>
        </is>
      </c>
      <c r="B11" s="6">
        <f>COUNTA('Test Cases'!A2:A7)</f>
        <v/>
      </c>
    </row>
    <row r="12">
      <c r="A12" s="5" t="inlineStr">
        <is>
          <t>Passed</t>
        </is>
      </c>
      <c r="B12" s="6">
        <f>COUNTIF('Test Cases'!F2:F7,"Passed")</f>
        <v/>
      </c>
    </row>
    <row r="13">
      <c r="A13" s="5" t="inlineStr">
        <is>
          <t>Failed</t>
        </is>
      </c>
      <c r="B13" s="6">
        <f>COUNTIF('Test Cases'!F2:F7,"Failed")</f>
        <v/>
      </c>
    </row>
    <row r="14">
      <c r="A14" s="5" t="inlineStr">
        <is>
          <t>Blocked</t>
        </is>
      </c>
      <c r="B14" s="6">
        <f>COUNTIF('Test Cases'!F2:F7,"Blocked")</f>
        <v/>
      </c>
    </row>
    <row r="15">
      <c r="A15" s="5" t="inlineStr">
        <is>
          <t>Skipped</t>
        </is>
      </c>
      <c r="B15" s="6">
        <f>COUNTIF('Test Cases'!F2:F7,"Skipped")</f>
        <v/>
      </c>
    </row>
    <row r="16">
      <c r="A16" s="5" t="inlineStr">
        <is>
          <t>Not Run</t>
        </is>
      </c>
      <c r="B16" s="6">
        <f>COUNTIF('Test Cases'!F2:F7,"Not Run")</f>
        <v/>
      </c>
    </row>
    <row r="17">
      <c r="A17" s="5" t="inlineStr">
        <is>
          <t>% Cobertura</t>
        </is>
      </c>
      <c r="B17" s="7">
        <f>IFERROR((B12+B13+B14+B15)/B11,0)</f>
        <v/>
      </c>
    </row>
    <row r="18">
      <c r="A18" s="5" t="inlineStr">
        <is>
          <t>% Pass rate</t>
        </is>
      </c>
      <c r="B18" s="7">
        <f>IFERROR(B12/(B12+B13),0)</f>
        <v/>
      </c>
    </row>
    <row r="20">
      <c r="A20" s="4" t="inlineStr">
        <is>
          <t>Prioridad</t>
        </is>
      </c>
      <c r="B20" s="4" t="inlineStr">
        <is>
          <t>Total</t>
        </is>
      </c>
      <c r="C20" s="4" t="inlineStr">
        <is>
          <t>Passed</t>
        </is>
      </c>
      <c r="D20" s="4" t="inlineStr">
        <is>
          <t>Failed</t>
        </is>
      </c>
      <c r="E20" s="4" t="inlineStr">
        <is>
          <t>Pendientes</t>
        </is>
      </c>
    </row>
    <row r="21">
      <c r="A21" s="5" t="inlineStr">
        <is>
          <t>P0</t>
        </is>
      </c>
      <c r="B21" s="8">
        <f>COUNTIF('Test Cases'!D2:D7,"P0")</f>
        <v/>
      </c>
      <c r="C21" s="8">
        <f>COUNTIFS('Test Cases'!D2:D7,"P0",'Test Cases'!F2:F7,"Passed")</f>
        <v/>
      </c>
      <c r="D21" s="8">
        <f>COUNTIFS('Test Cases'!D2:D7,"P0",'Test Cases'!F2:F7,"Failed")</f>
        <v/>
      </c>
      <c r="E21" s="8">
        <f>COUNTIFS('Test Cases'!D2:D7,"P0",'Test Cases'!F2:F7,"Not Run")</f>
        <v/>
      </c>
    </row>
    <row r="22">
      <c r="A22" s="5" t="inlineStr">
        <is>
          <t>P1</t>
        </is>
      </c>
      <c r="B22" s="8">
        <f>COUNTIF('Test Cases'!D2:D7,"P1")</f>
        <v/>
      </c>
      <c r="C22" s="8">
        <f>COUNTIFS('Test Cases'!D2:D7,"P1",'Test Cases'!F2:F7,"Passed")</f>
        <v/>
      </c>
      <c r="D22" s="8">
        <f>COUNTIFS('Test Cases'!D2:D7,"P1",'Test Cases'!F2:F7,"Failed")</f>
        <v/>
      </c>
      <c r="E22" s="8">
        <f>COUNTIFS('Test Cases'!D2:D7,"P1",'Test Cases'!F2:F7,"Not Run")</f>
        <v/>
      </c>
    </row>
    <row r="23">
      <c r="A23" s="5" t="inlineStr">
        <is>
          <t>P2</t>
        </is>
      </c>
      <c r="B23" s="8">
        <f>COUNTIF('Test Cases'!D2:D7,"P2")</f>
        <v/>
      </c>
      <c r="C23" s="8">
        <f>COUNTIFS('Test Cases'!D2:D7,"P2",'Test Cases'!F2:F7,"Passed")</f>
        <v/>
      </c>
      <c r="D23" s="8">
        <f>COUNTIFS('Test Cases'!D2:D7,"P2",'Test Cases'!F2:F7,"Failed")</f>
        <v/>
      </c>
      <c r="E23" s="8">
        <f>COUNTIFS('Test Cases'!D2:D7,"P2",'Test Cases'!F2:F7,"Not Run")</f>
        <v/>
      </c>
    </row>
    <row r="24">
      <c r="A24" s="5" t="inlineStr">
        <is>
          <t>P3</t>
        </is>
      </c>
      <c r="B24" s="8">
        <f>COUNTIF('Test Cases'!D2:D7,"P3")</f>
        <v/>
      </c>
      <c r="C24" s="8">
        <f>COUNTIFS('Test Cases'!D2:D7,"P3",'Test Cases'!F2:F7,"Passed")</f>
        <v/>
      </c>
      <c r="D24" s="8">
        <f>COUNTIFS('Test Cases'!D2:D7,"P3",'Test Cases'!F2:F7,"Failed")</f>
        <v/>
      </c>
      <c r="E24" s="8">
        <f>COUNTIFS('Test Cases'!D2:D7,"P3",'Test Cases'!F2:F7,"Not Run")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0" customWidth="1" min="4" max="4"/>
    <col width="38" customWidth="1" min="5" max="5"/>
    <col width="12" customWidth="1" min="6" max="6"/>
    <col width="10" customWidth="1" min="7" max="7"/>
    <col width="14" customWidth="1" min="8" max="8"/>
    <col width="12" customWidth="1" min="9" max="9"/>
    <col width="30" customWidth="1" min="10" max="10"/>
    <col width="12" customWidth="1" min="11" max="11"/>
    <col width="30" customWidth="1" min="12" max="12"/>
    <col width="40" customWidth="1" min="13" max="13"/>
    <col width="30" customWidth="1" min="14" max="14"/>
    <col width="16" customWidth="1" min="15" max="15"/>
  </cols>
  <sheetData>
    <row r="1" ht="30" customHeight="1">
      <c r="A1" s="4" t="inlineStr">
        <is>
          <t>Code</t>
        </is>
      </c>
      <c r="B1" s="4" t="inlineStr">
        <is>
          <t>Module</t>
        </is>
      </c>
      <c r="C1" s="4" t="inlineStr">
        <is>
          <t>Area</t>
        </is>
      </c>
      <c r="D1" s="4" t="inlineStr">
        <is>
          <t>Priority</t>
        </is>
      </c>
      <c r="E1" s="4" t="inlineStr">
        <is>
          <t>Title</t>
        </is>
      </c>
      <c r="F1" s="4" t="inlineStr">
        <is>
          <t>Status</t>
        </is>
      </c>
      <c r="G1" s="4" t="inlineStr">
        <is>
          <t>X (done)</t>
        </is>
      </c>
      <c r="H1" s="4" t="inlineStr">
        <is>
          <t>Tester</t>
        </is>
      </c>
      <c r="I1" s="4" t="inlineStr">
        <is>
          <t>Date</t>
        </is>
      </c>
      <c r="J1" s="4" t="inlineStr">
        <is>
          <t>Comment</t>
        </is>
      </c>
      <c r="K1" s="4" t="inlineStr">
        <is>
          <t>Defect ID</t>
        </is>
      </c>
      <c r="L1" s="4" t="inlineStr">
        <is>
          <t>Preconditions</t>
        </is>
      </c>
      <c r="M1" s="4" t="inlineStr">
        <is>
          <t>Steps</t>
        </is>
      </c>
      <c r="N1" s="4" t="inlineStr">
        <is>
          <t>Expected</t>
        </is>
      </c>
      <c r="O1" s="4" t="inlineStr">
        <is>
          <t>Platform Note</t>
        </is>
      </c>
    </row>
    <row r="2">
      <c r="A2" s="9" t="inlineStr">
        <is>
          <t>CRE-01</t>
        </is>
      </c>
      <c r="B2" s="9" t="inlineStr">
        <is>
          <t>neom_core</t>
        </is>
      </c>
      <c r="C2" s="9" t="inlineStr">
        <is>
          <t>Firestore</t>
        </is>
      </c>
      <c r="D2" s="9" t="inlineStr">
        <is>
          <t>P0</t>
        </is>
      </c>
      <c r="E2" s="9" t="inlineStr">
        <is>
          <t>EventFirestore.create</t>
        </is>
      </c>
      <c r="F2" s="9" t="inlineStr">
        <is>
          <t>Not Run</t>
        </is>
      </c>
      <c r="G2" s="9" t="n"/>
      <c r="H2" s="9" t="n"/>
      <c r="I2" s="9" t="n"/>
      <c r="J2" s="9" t="n"/>
      <c r="K2" s="9" t="n"/>
      <c r="L2" s="9" t="inlineStr">
        <is>
          <t>Auth</t>
        </is>
      </c>
      <c r="M2" s="9" t="inlineStr">
        <is>
          <t>create()</t>
        </is>
      </c>
      <c r="N2" s="9" t="inlineStr">
        <is>
          <t>Doc creado</t>
        </is>
      </c>
      <c r="O2" s="9" t="inlineStr"/>
    </row>
    <row r="3">
      <c r="A3" s="10" t="inlineStr">
        <is>
          <t>CRE-02</t>
        </is>
      </c>
      <c r="B3" s="10" t="inlineStr">
        <is>
          <t>neom_core</t>
        </is>
      </c>
      <c r="C3" s="10" t="inlineStr">
        <is>
          <t>Firestore</t>
        </is>
      </c>
      <c r="D3" s="10" t="inlineStr">
        <is>
          <t>P0</t>
        </is>
      </c>
      <c r="E3" s="10" t="inlineStr">
        <is>
          <t>instrumentsFulfillment update</t>
        </is>
      </c>
      <c r="F3" s="10" t="inlineStr">
        <is>
          <t>Not Run</t>
        </is>
      </c>
      <c r="G3" s="10" t="n"/>
      <c r="H3" s="10" t="n"/>
      <c r="I3" s="10" t="n"/>
      <c r="J3" s="10" t="n"/>
      <c r="K3" s="10" t="n"/>
      <c r="L3" s="10" t="inlineStr">
        <is>
          <t>Event</t>
        </is>
      </c>
      <c r="M3" s="10" t="inlineStr">
        <is>
          <t>update array</t>
        </is>
      </c>
      <c r="N3" s="10" t="inlineStr">
        <is>
          <t>Array reflejado</t>
        </is>
      </c>
      <c r="O3" s="10" t="inlineStr"/>
    </row>
    <row r="4">
      <c r="A4" s="9" t="inlineStr">
        <is>
          <t>CRE-03</t>
        </is>
      </c>
      <c r="B4" s="9" t="inlineStr">
        <is>
          <t>neom_core</t>
        </is>
      </c>
      <c r="C4" s="9" t="inlineStr">
        <is>
          <t>Firestore</t>
        </is>
      </c>
      <c r="D4" s="9" t="inlineStr">
        <is>
          <t>P0</t>
        </is>
      </c>
      <c r="E4" s="9" t="inlineStr">
        <is>
          <t>retrieveEvents ordered</t>
        </is>
      </c>
      <c r="F4" s="9" t="inlineStr">
        <is>
          <t>Not Run</t>
        </is>
      </c>
      <c r="G4" s="9" t="n"/>
      <c r="H4" s="9" t="n"/>
      <c r="I4" s="9" t="n"/>
      <c r="J4" s="9" t="n"/>
      <c r="K4" s="9" t="n"/>
      <c r="L4" s="9" t="inlineStr">
        <is>
          <t>≥3 events</t>
        </is>
      </c>
      <c r="M4" s="9" t="inlineStr">
        <is>
          <t>retrieve</t>
        </is>
      </c>
      <c r="N4" s="9" t="inlineStr">
        <is>
          <t>Desc por createdTime</t>
        </is>
      </c>
      <c r="O4" s="9" t="inlineStr"/>
    </row>
    <row r="5">
      <c r="A5" s="10" t="inlineStr">
        <is>
          <t>CRE-04</t>
        </is>
      </c>
      <c r="B5" s="10" t="inlineStr">
        <is>
          <t>neom_core</t>
        </is>
      </c>
      <c r="C5" s="10" t="inlineStr">
        <is>
          <t>Null</t>
        </is>
      </c>
      <c r="D5" s="10" t="inlineStr">
        <is>
          <t>P0</t>
        </is>
      </c>
      <c r="E5" s="10" t="inlineStr">
        <is>
          <t>doc.data() null safe</t>
        </is>
      </c>
      <c r="F5" s="10" t="inlineStr">
        <is>
          <t>Not Run</t>
        </is>
      </c>
      <c r="G5" s="10" t="n"/>
      <c r="H5" s="10" t="n"/>
      <c r="I5" s="10" t="n"/>
      <c r="J5" s="10" t="n"/>
      <c r="K5" s="10" t="n"/>
      <c r="L5" s="10" t="inlineStr">
        <is>
          <t>Doc vacío</t>
        </is>
      </c>
      <c r="M5" s="10" t="inlineStr">
        <is>
          <t>Read</t>
        </is>
      </c>
      <c r="N5" s="10" t="inlineStr">
        <is>
          <t>No crash</t>
        </is>
      </c>
      <c r="O5" s="10" t="inlineStr"/>
    </row>
    <row r="6">
      <c r="A6" s="9" t="inlineStr">
        <is>
          <t>CRE-05</t>
        </is>
      </c>
      <c r="B6" s="9" t="inlineStr">
        <is>
          <t>neom_core</t>
        </is>
      </c>
      <c r="C6" s="9" t="inlineStr">
        <is>
          <t>Cast</t>
        </is>
      </c>
      <c r="D6" s="9" t="inlineStr">
        <is>
          <t>P0</t>
        </is>
      </c>
      <c r="E6" s="9" t="inlineStr">
        <is>
          <t>Cast a Map seguro</t>
        </is>
      </c>
      <c r="F6" s="9" t="inlineStr">
        <is>
          <t>Not Run</t>
        </is>
      </c>
      <c r="G6" s="9" t="n"/>
      <c r="H6" s="9" t="n"/>
      <c r="I6" s="9" t="n"/>
      <c r="J6" s="9" t="n"/>
      <c r="K6" s="9" t="n"/>
      <c r="L6" s="9" t="inlineStr">
        <is>
          <t>Doc malformado</t>
        </is>
      </c>
      <c r="M6" s="9" t="inlineStr">
        <is>
          <t>Cast</t>
        </is>
      </c>
      <c r="N6" s="9" t="inlineStr">
        <is>
          <t>Fallback</t>
        </is>
      </c>
      <c r="O6" s="9" t="inlineStr"/>
    </row>
    <row r="7">
      <c r="A7" s="10" t="inlineStr">
        <is>
          <t>CRE-06</t>
        </is>
      </c>
      <c r="B7" s="10" t="inlineStr">
        <is>
          <t>neom_core</t>
        </is>
      </c>
      <c r="C7" s="10" t="inlineStr">
        <is>
          <t>Enum</t>
        </is>
      </c>
      <c r="D7" s="10" t="inlineStr">
        <is>
          <t>P1</t>
        </is>
      </c>
      <c r="E7" s="10" t="inlineStr">
        <is>
          <t>SubscriptionLevel.value</t>
        </is>
      </c>
      <c r="F7" s="10" t="inlineStr">
        <is>
          <t>Not Run</t>
        </is>
      </c>
      <c r="G7" s="10" t="n"/>
      <c r="H7" s="10" t="n"/>
      <c r="I7" s="10" t="n"/>
      <c r="J7" s="10" t="n"/>
      <c r="K7" s="10" t="n"/>
      <c r="L7" s="10" t="inlineStr">
        <is>
          <t>Enum</t>
        </is>
      </c>
      <c r="M7" s="10" t="inlineStr">
        <is>
          <t>Read .value</t>
        </is>
      </c>
      <c r="N7" s="10" t="inlineStr">
        <is>
          <t>Numeric</t>
        </is>
      </c>
      <c r="O7" s="10" t="inlineStr"/>
    </row>
  </sheetData>
  <autoFilter ref="A1:O7"/>
  <conditionalFormatting sqref="F2:F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"Skipped"</formula>
    </cfRule>
    <cfRule type="cellIs" priority="5" operator="equal" dxfId="4">
      <formula>"Not Run"</formula>
    </cfRule>
  </conditionalFormatting>
  <dataValidations count="2">
    <dataValidation sqref="F2:F7" showDropDown="0" showInputMessage="0" showErrorMessage="0" allowBlank="1" type="list">
      <formula1>"Not Run,Passed,Failed,Blocked,Skipped"</formula1>
    </dataValidation>
    <dataValidation sqref="D2:D7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4" t="inlineStr">
        <is>
          <t>Area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Blocked</t>
        </is>
      </c>
      <c r="F1" s="4" t="inlineStr">
        <is>
          <t>Skipped</t>
        </is>
      </c>
      <c r="G1" s="4" t="inlineStr">
        <is>
          <t>Not Run</t>
        </is>
      </c>
      <c r="H1" s="4" t="inlineStr">
        <is>
          <t>% Pass</t>
        </is>
      </c>
    </row>
    <row r="2">
      <c r="A2" s="11" t="inlineStr">
        <is>
          <t>Cast</t>
        </is>
      </c>
      <c r="B2" s="11">
        <f>COUNTIF('Test Cases'!C2:C7,A2)</f>
        <v/>
      </c>
      <c r="C2" s="11">
        <f>COUNTIFS('Test Cases'!C2:C7,A2,'Test Cases'!F2:F7,"Passed")</f>
        <v/>
      </c>
      <c r="D2" s="11">
        <f>COUNTIFS('Test Cases'!C2:C7,A2,'Test Cases'!F2:F7,"Failed")</f>
        <v/>
      </c>
      <c r="E2" s="11">
        <f>COUNTIFS('Test Cases'!C2:C7,A2,'Test Cases'!F2:F7,"Blocked")</f>
        <v/>
      </c>
      <c r="F2" s="11">
        <f>COUNTIFS('Test Cases'!C2:C7,A2,'Test Cases'!F2:F7,"Skipped")</f>
        <v/>
      </c>
      <c r="G2" s="11">
        <f>COUNTIFS('Test Cases'!C2:C7,A2,'Test Cases'!F2:F7,"Not Run")</f>
        <v/>
      </c>
      <c r="H2" s="12">
        <f>IFERROR(C2/(C2+D2),0)</f>
        <v/>
      </c>
    </row>
    <row r="3">
      <c r="A3" s="11" t="inlineStr">
        <is>
          <t>Enum</t>
        </is>
      </c>
      <c r="B3" s="11">
        <f>COUNTIF('Test Cases'!C2:C7,A3)</f>
        <v/>
      </c>
      <c r="C3" s="11">
        <f>COUNTIFS('Test Cases'!C2:C7,A3,'Test Cases'!F2:F7,"Passed")</f>
        <v/>
      </c>
      <c r="D3" s="11">
        <f>COUNTIFS('Test Cases'!C2:C7,A3,'Test Cases'!F2:F7,"Failed")</f>
        <v/>
      </c>
      <c r="E3" s="11">
        <f>COUNTIFS('Test Cases'!C2:C7,A3,'Test Cases'!F2:F7,"Blocked")</f>
        <v/>
      </c>
      <c r="F3" s="11">
        <f>COUNTIFS('Test Cases'!C2:C7,A3,'Test Cases'!F2:F7,"Skipped")</f>
        <v/>
      </c>
      <c r="G3" s="11">
        <f>COUNTIFS('Test Cases'!C2:C7,A3,'Test Cases'!F2:F7,"Not Run")</f>
        <v/>
      </c>
      <c r="H3" s="12">
        <f>IFERROR(C3/(C3+D3),0)</f>
        <v/>
      </c>
    </row>
    <row r="4">
      <c r="A4" s="11" t="inlineStr">
        <is>
          <t>Firestore</t>
        </is>
      </c>
      <c r="B4" s="11">
        <f>COUNTIF('Test Cases'!C2:C7,A4)</f>
        <v/>
      </c>
      <c r="C4" s="11">
        <f>COUNTIFS('Test Cases'!C2:C7,A4,'Test Cases'!F2:F7,"Passed")</f>
        <v/>
      </c>
      <c r="D4" s="11">
        <f>COUNTIFS('Test Cases'!C2:C7,A4,'Test Cases'!F2:F7,"Failed")</f>
        <v/>
      </c>
      <c r="E4" s="11">
        <f>COUNTIFS('Test Cases'!C2:C7,A4,'Test Cases'!F2:F7,"Blocked")</f>
        <v/>
      </c>
      <c r="F4" s="11">
        <f>COUNTIFS('Test Cases'!C2:C7,A4,'Test Cases'!F2:F7,"Skipped")</f>
        <v/>
      </c>
      <c r="G4" s="11">
        <f>COUNTIFS('Test Cases'!C2:C7,A4,'Test Cases'!F2:F7,"Not Run")</f>
        <v/>
      </c>
      <c r="H4" s="12">
        <f>IFERROR(C4/(C4+D4),0)</f>
        <v/>
      </c>
    </row>
    <row r="5">
      <c r="A5" s="11" t="inlineStr">
        <is>
          <t>Null</t>
        </is>
      </c>
      <c r="B5" s="11">
        <f>COUNTIF('Test Cases'!C2:C7,A5)</f>
        <v/>
      </c>
      <c r="C5" s="11">
        <f>COUNTIFS('Test Cases'!C2:C7,A5,'Test Cases'!F2:F7,"Passed")</f>
        <v/>
      </c>
      <c r="D5" s="11">
        <f>COUNTIFS('Test Cases'!C2:C7,A5,'Test Cases'!F2:F7,"Failed")</f>
        <v/>
      </c>
      <c r="E5" s="11">
        <f>COUNTIFS('Test Cases'!C2:C7,A5,'Test Cases'!F2:F7,"Blocked")</f>
        <v/>
      </c>
      <c r="F5" s="11">
        <f>COUNTIFS('Test Cases'!C2:C7,A5,'Test Cases'!F2:F7,"Skipped")</f>
        <v/>
      </c>
      <c r="G5" s="11">
        <f>COUNTIFS('Test Cases'!C2:C7,A5,'Test Cases'!F2:F7,"Not Run")</f>
        <v/>
      </c>
      <c r="H5" s="12">
        <f>IFERROR(C5/(C5+D5),0)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2" customWidth="1" min="4" max="4"/>
    <col width="36" customWidth="1" min="5" max="5"/>
    <col width="28" customWidth="1" min="6" max="6"/>
    <col width="28" customWidth="1" min="7" max="7"/>
    <col width="20" customWidth="1" min="8" max="8"/>
    <col width="24" customWidth="1" min="9" max="9"/>
    <col width="16" customWidth="1" min="10" max="10"/>
    <col width="14" customWidth="1" min="11" max="11"/>
    <col width="12" customWidth="1" min="12" max="12"/>
    <col width="12" customWidth="1" min="13" max="13"/>
  </cols>
  <sheetData>
    <row r="1">
      <c r="A1" s="4" t="inlineStr">
        <is>
          <t>Defect ID</t>
        </is>
      </c>
      <c r="B1" s="4" t="inlineStr">
        <is>
          <t>Case Code</t>
        </is>
      </c>
      <c r="C1" s="4" t="inlineStr">
        <is>
          <t>Severity</t>
        </is>
      </c>
      <c r="D1" s="4" t="inlineStr">
        <is>
          <t>Title</t>
        </is>
      </c>
      <c r="E1" s="4" t="inlineStr">
        <is>
          <t>Steps to reproduce</t>
        </is>
      </c>
      <c r="F1" s="4" t="inlineStr">
        <is>
          <t>Actual</t>
        </is>
      </c>
      <c r="G1" s="4" t="inlineStr">
        <is>
          <t>Expected</t>
        </is>
      </c>
      <c r="H1" s="4" t="inlineStr">
        <is>
          <t>Environment</t>
        </is>
      </c>
      <c r="I1" s="4" t="inlineStr">
        <is>
          <t>Screenshot URL</t>
        </is>
      </c>
      <c r="J1" s="4" t="inlineStr">
        <is>
          <t>Assigned</t>
        </is>
      </c>
      <c r="K1" s="4" t="inlineStr">
        <is>
          <t>Status</t>
        </is>
      </c>
      <c r="L1" s="4" t="inlineStr">
        <is>
          <t>Created</t>
        </is>
      </c>
      <c r="M1" s="4" t="inlineStr">
        <is>
          <t>Closed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</sheetData>
  <dataValidations count="2">
    <dataValidation sqref="C2:C200" showDropDown="0" showInputMessage="0" showErrorMessage="0" allowBlank="1" type="list">
      <formula1>"P0,P1,P2,P3"</formula1>
    </dataValidation>
    <dataValidation sqref="K2:K200" showDropDown="0" showInputMessage="0" showErrorMessage="0" allowBlank="1" type="list">
      <formula1>"Open,In Progress,Fixed,Verified,Closed,Wont Fix"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</cols>
  <sheetData>
    <row r="1">
      <c r="A1" s="13" t="inlineStr">
        <is>
          <t>Criterios de aceptación (Release Gates)</t>
        </is>
      </c>
    </row>
    <row r="3">
      <c r="A3" s="4" t="inlineStr">
        <is>
          <t>Criterio</t>
        </is>
      </c>
      <c r="B3" s="4" t="inlineStr">
        <is>
          <t>Target</t>
        </is>
      </c>
      <c r="C3" s="4" t="inlineStr">
        <is>
          <t>Estado</t>
        </is>
      </c>
    </row>
    <row r="4">
      <c r="A4" s="11" t="inlineStr">
        <is>
          <t>P0 con 100% Pass rate</t>
        </is>
      </c>
      <c r="B4" s="11" t="inlineStr">
        <is>
          <t>100%</t>
        </is>
      </c>
      <c r="C4" s="11">
        <f>IF(COUNTIFS('Test Cases'!D2:D7,"P0",'Test Cases'!F2:F7,"Failed")=0,"OK","BLOCKED")</f>
        <v/>
      </c>
    </row>
    <row r="5">
      <c r="A5" s="11" t="inlineStr">
        <is>
          <t>P1 con &gt;=95% Pass rate</t>
        </is>
      </c>
      <c r="B5" s="11" t="inlineStr">
        <is>
          <t>&gt;=95%</t>
        </is>
      </c>
      <c r="C5" s="11">
        <f>IF(IFERROR(COUNTIFS('Test Cases'!D2:D7,"P1",'Test Cases'!F2:F7,"Passed")/COUNTIF('Test Cases'!D2:D7,"P1"),0)&gt;=0.95,"OK","REVIEW")</f>
        <v/>
      </c>
    </row>
    <row r="6">
      <c r="A6" s="11" t="inlineStr">
        <is>
          <t>P2 con &gt;=80% ejecutados</t>
        </is>
      </c>
      <c r="B6" s="11" t="inlineStr">
        <is>
          <t>&gt;=80%</t>
        </is>
      </c>
      <c r="C6" s="11">
        <f>IF(IFERROR((COUNTIFS('Test Cases'!D2:D7,"P2",'Test Cases'!F2:F7,"Passed")+COUNTIFS('Test Cases'!D2:D7,"P2",'Test Cases'!F2:F7,"Failed"))/COUNTIF('Test Cases'!D2:D7,"P2"),0)&gt;=0.8,"OK","REVIEW")</f>
        <v/>
      </c>
    </row>
    <row r="7">
      <c r="A7" s="11" t="inlineStr">
        <is>
          <t>Sin defectos P0 abiertos</t>
        </is>
      </c>
      <c r="B7" s="11" t="inlineStr">
        <is>
          <t>0</t>
        </is>
      </c>
      <c r="C7" s="11">
        <f>IF(COUNTIFS('Defects Log'!C2:C200,"P0",'Defects Log'!K2:K200,"Open")=0,"OK","BLOCKED")</f>
        <v/>
      </c>
    </row>
    <row r="8">
      <c r="A8" s="11" t="inlineStr">
        <is>
          <t>Cobertura global &gt;=90%</t>
        </is>
      </c>
      <c r="B8" s="11" t="inlineStr">
        <is>
          <t>&gt;=90%</t>
        </is>
      </c>
      <c r="C8" s="11">
        <f>IF(Summary!B17&gt;=0.9,"OK","REVIEW")</f>
        <v/>
      </c>
    </row>
  </sheetData>
  <mergeCells count="1">
    <mergeCell ref="A1:C1"/>
  </mergeCells>
  <conditionalFormatting sqref="C4:C10">
    <cfRule type="cellIs" priority="1" operator="equal" dxfId="0">
      <formula>"OK"</formula>
    </cfRule>
    <cfRule type="cellIs" priority="2" operator="equal" dxfId="1">
      <formula>"BLOCKED"</formula>
    </cfRule>
    <cfRule type="cellIs" priority="3" operator="equal" dxfId="2">
      <formula>"REVIEW"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2026-04-08T16:23:03Z</dcterms:created>
  <dcterms:modified xmlns:dcterms="http://purl.org/dc/terms/" xmlns:xsi="http://www.w3.org/2001/XMLSchema-instance" xsi:type="dcterms:W3CDTF">2026-04-08T16:23:03Z</dcterms:modified>
</cp:coreProperties>
</file>